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股票交易\组合持仓跟踪\"/>
    </mc:Choice>
  </mc:AlternateContent>
  <xr:revisionPtr revIDLastSave="0" documentId="13_ncr:1_{235A6017-BD97-4C45-B483-605F9FCE5571}" xr6:coauthVersionLast="47" xr6:coauthVersionMax="47" xr10:uidLastSave="{00000000-0000-0000-0000-000000000000}"/>
  <bookViews>
    <workbookView xWindow="11445" yWindow="2415" windowWidth="19530" windowHeight="15705" tabRatio="500" xr2:uid="{00000000-000D-0000-FFFF-FFFF00000000}"/>
  </bookViews>
  <sheets>
    <sheet name="100股做T盈亏比计算" sheetId="1" r:id="rId1"/>
  </sheets>
  <definedNames>
    <definedName name="_xlnm._FilterDatabase" localSheetId="0" hidden="1">'100股做T盈亏比计算'!$A$3:$C$13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9" i="1"/>
  <c r="B11" i="1" s="1"/>
  <c r="B8" i="1"/>
  <c r="B7" i="1"/>
  <c r="B10" i="1" s="1"/>
  <c r="B12" i="1" l="1"/>
  <c r="B14" i="1" s="1"/>
</calcChain>
</file>

<file path=xl/sharedStrings.xml><?xml version="1.0" encoding="utf-8"?>
<sst xmlns="http://schemas.openxmlformats.org/spreadsheetml/2006/main" count="28" uniqueCount="28">
  <si>
    <t>100股 A股做T 真实盈亏比计算模板</t>
  </si>
  <si>
    <t>【固定规则】100股小额做T，手续费偏移：买入每股 +0.05 元 | 卖出每股 -0.06 元；决策规则：真实盈亏比 ≥ 1.5 可操作，&lt; 1.5 放弃</t>
  </si>
  <si>
    <t>项目</t>
  </si>
  <si>
    <t>数值/公式</t>
  </si>
  <si>
    <t>说明</t>
  </si>
  <si>
    <t>真实委托买入价</t>
  </si>
  <si>
    <t>你实际挂单的买入价格（元/股）</t>
  </si>
  <si>
    <t>真实止损委托价</t>
  </si>
  <si>
    <t>你实际挂单的止损卖出价格（元/股）</t>
  </si>
  <si>
    <t>真实止盈委托价</t>
  </si>
  <si>
    <t>你实际挂单的止盈卖出价格（元/股）</t>
  </si>
  <si>
    <t>工具进场价</t>
  </si>
  <si>
    <t>即 真实买入价 + 0.05（计入买入手续费）</t>
  </si>
  <si>
    <t>等效止损到手价</t>
  </si>
  <si>
    <t>即 真实止损价 - 0.06（计入卖出手续费）</t>
  </si>
  <si>
    <t>等效止盈到手价</t>
  </si>
  <si>
    <t>即 真实止盈价 - 0.06（计入卖出手续费）</t>
  </si>
  <si>
    <t>真实每股亏损</t>
  </si>
  <si>
    <t>即 工具进场价 − 等效止损到手价</t>
  </si>
  <si>
    <t>真实每股盈利</t>
  </si>
  <si>
    <t>即 等效止盈到手价 − 工具进场价</t>
  </si>
  <si>
    <t>真实盈亏比</t>
  </si>
  <si>
    <t>即 真实每股盈利 ÷ 真实每股亏损</t>
  </si>
  <si>
    <t>工具裸价盈亏比</t>
  </si>
  <si>
    <t>即 (真实止盈价−真实买入价) ÷ (真实买入价−真实止损价)</t>
  </si>
  <si>
    <t>操作决策</t>
  </si>
  <si>
    <t>真实盈亏比 ≥ 1.5 → 可操作；否则放弃</t>
  </si>
  <si>
    <t>📌 示例：买入13.75 / 止损13.66 / 止盈14.10 → 真实盈亏比 ≈ 1.20 → 决策：放弃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</si>
</sst>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Noto Sans SC"/>
      <family val="2"/>
      <charset val="134"/>
    </font>
    <font>
      <b/>
      <sz val="14"/>
      <color rgb="FFFFFFFF"/>
      <name val="微软雅黑"/>
      <family val="2"/>
      <charset val="1"/>
    </font>
    <font>
      <i/>
      <sz val="10"/>
      <color rgb="FF595959"/>
      <name val="微软雅黑"/>
      <family val="2"/>
      <charset val="1"/>
    </font>
    <font>
      <b/>
      <sz val="11"/>
      <color rgb="FFFFFFFF"/>
      <name val="微软雅黑"/>
      <family val="2"/>
      <charset val="1"/>
    </font>
    <font>
      <b/>
      <sz val="11"/>
      <color rgb="FF7F6000"/>
      <name val="微软雅黑"/>
      <family val="2"/>
      <charset val="1"/>
    </font>
    <font>
      <sz val="10"/>
      <color rgb="FF7F6000"/>
      <name val="微软雅黑"/>
      <family val="2"/>
      <charset val="1"/>
    </font>
    <font>
      <sz val="11"/>
      <color rgb="FF333333"/>
      <name val="微软雅黑"/>
      <family val="2"/>
      <charset val="1"/>
    </font>
    <font>
      <sz val="10"/>
      <color rgb="FF595959"/>
      <name val="微软雅黑"/>
      <family val="2"/>
      <charset val="1"/>
    </font>
    <font>
      <b/>
      <sz val="12"/>
      <color rgb="FF7F6000"/>
      <name val="微软雅黑"/>
      <family val="2"/>
      <charset val="1"/>
    </font>
    <font>
      <b/>
      <sz val="12"/>
      <color rgb="FF000000"/>
      <name val="微软雅黑"/>
      <family val="2"/>
      <charset val="1"/>
    </font>
    <font>
      <i/>
      <sz val="11"/>
      <color rgb="FF666666"/>
      <name val="微软雅黑"/>
      <family val="2"/>
      <charset val="1"/>
    </font>
    <font>
      <sz val="9"/>
      <name val="Noto Sans SC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2F2F2"/>
        <bgColor rgb="FFFAFAFA"/>
      </patternFill>
    </fill>
    <fill>
      <patternFill patternType="solid">
        <fgColor rgb="FF0070C0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FAFAFA"/>
        <b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0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0C0C0"/>
      <rgbColor rgb="FF595959"/>
      <rgbColor rgb="FF9999FF"/>
      <rgbColor rgb="FF993366"/>
      <rgbColor rgb="FFFFF2CC"/>
      <rgbColor rgb="FFF2F2F2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5"/>
  <sheetViews>
    <sheetView showGridLines="0" tabSelected="1" zoomScaleNormal="100" workbookViewId="0">
      <pane ySplit="3" topLeftCell="A4" activePane="bottomLeft" state="frozen"/>
      <selection pane="bottomLeft" activeCell="G8" sqref="G8"/>
    </sheetView>
  </sheetViews>
  <sheetFormatPr defaultColWidth="7.25" defaultRowHeight="18" x14ac:dyDescent="0.35"/>
  <cols>
    <col min="1" max="1" width="41" customWidth="1"/>
    <col min="2" max="2" width="37.25" customWidth="1"/>
    <col min="3" max="3" width="41" customWidth="1"/>
  </cols>
  <sheetData>
    <row r="1" spans="1:3" ht="39.75" customHeight="1" x14ac:dyDescent="0.35">
      <c r="A1" s="3" t="s">
        <v>0</v>
      </c>
      <c r="B1" s="3"/>
      <c r="C1" s="3"/>
    </row>
    <row r="2" spans="1:3" ht="30" customHeight="1" x14ac:dyDescent="0.35">
      <c r="A2" s="2" t="s">
        <v>1</v>
      </c>
      <c r="B2" s="2"/>
      <c r="C2" s="2"/>
    </row>
    <row r="3" spans="1:3" ht="25.5" customHeight="1" x14ac:dyDescent="0.35">
      <c r="A3" s="4" t="s">
        <v>2</v>
      </c>
      <c r="B3" s="4" t="s">
        <v>3</v>
      </c>
      <c r="C3" s="4" t="s">
        <v>4</v>
      </c>
    </row>
    <row r="4" spans="1:3" ht="24" customHeight="1" x14ac:dyDescent="0.35">
      <c r="A4" s="5" t="s">
        <v>5</v>
      </c>
      <c r="B4" s="6">
        <v>13.75</v>
      </c>
      <c r="C4" s="7" t="s">
        <v>6</v>
      </c>
    </row>
    <row r="5" spans="1:3" ht="24" customHeight="1" x14ac:dyDescent="0.35">
      <c r="A5" s="5" t="s">
        <v>7</v>
      </c>
      <c r="B5" s="6">
        <v>13.66</v>
      </c>
      <c r="C5" s="7" t="s">
        <v>8</v>
      </c>
    </row>
    <row r="6" spans="1:3" ht="24" customHeight="1" x14ac:dyDescent="0.35">
      <c r="A6" s="5" t="s">
        <v>9</v>
      </c>
      <c r="B6" s="6">
        <v>14.42</v>
      </c>
      <c r="C6" s="7" t="s">
        <v>10</v>
      </c>
    </row>
    <row r="7" spans="1:3" ht="24" customHeight="1" x14ac:dyDescent="0.35">
      <c r="A7" s="8" t="s">
        <v>11</v>
      </c>
      <c r="B7" s="9">
        <f>B4+0.05</f>
        <v>13.8</v>
      </c>
      <c r="C7" s="10" t="s">
        <v>12</v>
      </c>
    </row>
    <row r="8" spans="1:3" ht="24" customHeight="1" x14ac:dyDescent="0.35">
      <c r="A8" s="8" t="s">
        <v>13</v>
      </c>
      <c r="B8" s="9">
        <f>B5-0.06</f>
        <v>13.6</v>
      </c>
      <c r="C8" s="10" t="s">
        <v>14</v>
      </c>
    </row>
    <row r="9" spans="1:3" ht="24" customHeight="1" x14ac:dyDescent="0.35">
      <c r="A9" s="8" t="s">
        <v>15</v>
      </c>
      <c r="B9" s="9">
        <f>B6-0.06</f>
        <v>14.36</v>
      </c>
      <c r="C9" s="10" t="s">
        <v>16</v>
      </c>
    </row>
    <row r="10" spans="1:3" ht="24" customHeight="1" x14ac:dyDescent="0.35">
      <c r="A10" s="8" t="s">
        <v>17</v>
      </c>
      <c r="B10" s="9">
        <f>B7-B8</f>
        <v>0.20000000000000107</v>
      </c>
      <c r="C10" s="10" t="s">
        <v>18</v>
      </c>
    </row>
    <row r="11" spans="1:3" ht="24" customHeight="1" x14ac:dyDescent="0.35">
      <c r="A11" s="8" t="s">
        <v>19</v>
      </c>
      <c r="B11" s="9">
        <f>B9-B7</f>
        <v>0.55999999999999872</v>
      </c>
      <c r="C11" s="10" t="s">
        <v>20</v>
      </c>
    </row>
    <row r="12" spans="1:3" ht="24" customHeight="1" x14ac:dyDescent="0.35">
      <c r="A12" s="8" t="s">
        <v>21</v>
      </c>
      <c r="B12" s="9">
        <f>IFERROR(B11/B10,0)</f>
        <v>2.7999999999999785</v>
      </c>
      <c r="C12" s="10" t="s">
        <v>22</v>
      </c>
    </row>
    <row r="13" spans="1:3" ht="24" customHeight="1" x14ac:dyDescent="0.35">
      <c r="A13" s="8" t="s">
        <v>23</v>
      </c>
      <c r="B13" s="9">
        <f>IFERROR((B6-B4)/(B4-B5),0)</f>
        <v>7.4444444444444553</v>
      </c>
      <c r="C13" s="10" t="s">
        <v>24</v>
      </c>
    </row>
    <row r="14" spans="1:3" ht="24" customHeight="1" x14ac:dyDescent="0.35">
      <c r="A14" s="11" t="s">
        <v>25</v>
      </c>
      <c r="B14" s="12" t="str">
        <f>IF(B12&gt;=1.5,"✅ 可操作","❌ 放弃")</f>
        <v>✅ 可操作</v>
      </c>
      <c r="C14" s="7" t="s">
        <v>26</v>
      </c>
    </row>
    <row r="15" spans="1:3" ht="25.5" customHeight="1" x14ac:dyDescent="0.35">
      <c r="A15" s="1" t="s">
        <v>27</v>
      </c>
      <c r="B15" s="1"/>
      <c r="C15" s="1"/>
    </row>
  </sheetData>
  <autoFilter ref="A3:C13" xr:uid="{00000000-0009-0000-0000-000000000000}"/>
  <mergeCells count="3">
    <mergeCell ref="A1:C1"/>
    <mergeCell ref="A2:C2"/>
    <mergeCell ref="A15:C15"/>
  </mergeCells>
  <phoneticPr fontId="11" type="noConversion"/>
  <conditionalFormatting sqref="B13">
    <cfRule type="expression" dxfId="1" priority="2">
      <formula>ISNUMBER(SEARCH("可操作",B13))</formula>
    </cfRule>
    <cfRule type="expression" dxfId="0" priority="3">
      <formula>ISNUMBER(SEARCH("放弃",B13))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100股做T盈亏比计算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chunlin lu</cp:lastModifiedBy>
  <cp:revision>0</cp:revision>
  <dcterms:created xsi:type="dcterms:W3CDTF">2026-08-06T05:41:13Z</dcterms:created>
  <dcterms:modified xsi:type="dcterms:W3CDTF">2026-08-06T06:32:08Z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{"Label":"1","ContentProducer":"001191110102MACQD9K64010000","ProduceID":"7670786643208686550","ReservedCode1":"","ContentPropagator":"","PropagateID":"","ReservedCode2":""}</vt:lpwstr>
  </property>
</Properties>
</file>